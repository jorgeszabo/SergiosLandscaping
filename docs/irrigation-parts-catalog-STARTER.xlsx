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s Catalog" sheetId="2" state="visible" r:id="rId4"/>
    <sheet name="Labor Rates" sheetId="3" state="visible" r:id="rId5"/>
    <sheet name="Issue -&gt; Fix 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<sst xmlns="http://schemas.openxmlformats.org/spreadsheetml/2006/main" count="433" uniqueCount="222">
  <si>
    <t xml:space="preserve">Sergio's Landscaping — Irrigation Parts Catalog (STARTER)</t>
  </si>
  <si>
    <t xml:space="preserve">A world-class starting point. Everything here is meant to be edited by an Admin. Prices are PLACEHOLDERS.</t>
  </si>
  <si>
    <t xml:space="preserve">HOW TO USE THIS FILE</t>
  </si>
  <si>
    <t xml:space="preserve">Yellow cells with blue text</t>
  </si>
  <si>
    <t xml:space="preserve">These are the cells you EDIT — unit cost, sell price, on-hand, SKUs, vendors.</t>
  </si>
  <si>
    <t xml:space="preserve">Black text</t>
  </si>
  <si>
    <t xml:space="preserve">Calculated automatically (e.g. Markup %). Don't type over these.</t>
  </si>
  <si>
    <t xml:space="preserve">Prices are placeholders</t>
  </si>
  <si>
    <t xml:space="preserve">The cost/sell numbers are typical ballparks so you can see it working. Replace with YOUR real supplier costs and YOUR prices.</t>
  </si>
  <si>
    <t xml:space="preserve">THE TABS</t>
  </si>
  <si>
    <t xml:space="preserve">Parts Catalog</t>
  </si>
  <si>
    <t xml:space="preserve">Your master parts list. One row per part, with vendor part # / SKU, cost, and sell price.</t>
  </si>
  <si>
    <t xml:space="preserve">Labor Rates</t>
  </si>
  <si>
    <t xml:space="preserve">Hourly and flat labor rates used on estimates.</t>
  </si>
  <si>
    <t xml:space="preserve">Issue -&gt; Fix Map</t>
  </si>
  <si>
    <t xml:space="preserve">The bridge: each inspection issue (from the field grid) maps to its default fix and part. This is what lets a logged problem turn into a priced line automatically.</t>
  </si>
  <si>
    <t xml:space="preserve">COLUMNS THAT MATTER</t>
  </si>
  <si>
    <t xml:space="preserve">Vendor / Supplier + Part # / SKU</t>
  </si>
  <si>
    <t xml:space="preserve">So the office and field order the exact right item at the right price.</t>
  </si>
  <si>
    <t xml:space="preserve">Unit Cost</t>
  </si>
  <si>
    <t xml:space="preserve">What YOU pay the supplier.</t>
  </si>
  <si>
    <t xml:space="preserve">Sell Price</t>
  </si>
  <si>
    <t xml:space="preserve">What you charge the customer.</t>
  </si>
  <si>
    <t xml:space="preserve">Markup %</t>
  </si>
  <si>
    <t xml:space="preserve">Auto: (Sell - Cost) / Cost.</t>
  </si>
  <si>
    <t xml:space="preserve">On Hand?</t>
  </si>
  <si>
    <t xml:space="preserve">Light-inventory flag: is this typically on the truck? (Yes/No). Not a live count.</t>
  </si>
  <si>
    <t xml:space="preserve">Category</t>
  </si>
  <si>
    <t xml:space="preserve">Item</t>
  </si>
  <si>
    <t xml:space="preserve">Brand</t>
  </si>
  <si>
    <t xml:space="preserve">Model / Spec</t>
  </si>
  <si>
    <t xml:space="preserve">Vendor / Supplier</t>
  </si>
  <si>
    <t xml:space="preserve">Vendor Part # / SKU</t>
  </si>
  <si>
    <t xml:space="preserve">Unit</t>
  </si>
  <si>
    <t xml:space="preserve">Notes</t>
  </si>
  <si>
    <t xml:space="preserve">Controller</t>
  </si>
  <si>
    <t xml:space="preserve">4-station controller</t>
  </si>
  <si>
    <t xml:space="preserve">Hunter</t>
  </si>
  <si>
    <t xml:space="preserve">X-Core XC-400</t>
  </si>
  <si>
    <t xml:space="preserve">Ewing / SiteOne</t>
  </si>
  <si>
    <t xml:space="preserve">XC-400i</t>
  </si>
  <si>
    <t xml:space="preserve">each</t>
  </si>
  <si>
    <t xml:space="preserve">Yes</t>
  </si>
  <si>
    <t xml:space="preserve">Indoor/outdoor</t>
  </si>
  <si>
    <t xml:space="preserve">8-station controller</t>
  </si>
  <si>
    <t xml:space="preserve">Pro-C PC-401</t>
  </si>
  <si>
    <t xml:space="preserve">PC-401i</t>
  </si>
  <si>
    <t xml:space="preserve">No</t>
  </si>
  <si>
    <t xml:space="preserve">Rain Bird</t>
  </si>
  <si>
    <t xml:space="preserve">ESP-TM2</t>
  </si>
  <si>
    <t xml:space="preserve">SiteOne</t>
  </si>
  <si>
    <t xml:space="preserve">ESP8TM2</t>
  </si>
  <si>
    <t xml:space="preserve">Backflow</t>
  </si>
  <si>
    <t xml:space="preserve">PVB 1"</t>
  </si>
  <si>
    <t xml:space="preserve">Febco</t>
  </si>
  <si>
    <t xml:space="preserve">765-1</t>
  </si>
  <si>
    <t xml:space="preserve">765-100</t>
  </si>
  <si>
    <t xml:space="preserve">Pressure vacuum breaker</t>
  </si>
  <si>
    <t xml:space="preserve">Double check valve 1"</t>
  </si>
  <si>
    <t xml:space="preserve">Watts</t>
  </si>
  <si>
    <t xml:space="preserve">007-1</t>
  </si>
  <si>
    <t xml:space="preserve">0061878</t>
  </si>
  <si>
    <t xml:space="preserve">Backflow rebuild kit</t>
  </si>
  <si>
    <t xml:space="preserve">905-212</t>
  </si>
  <si>
    <t xml:space="preserve">905212</t>
  </si>
  <si>
    <t xml:space="preserve">Valve</t>
  </si>
  <si>
    <t xml:space="preserve">Electric valve 1"</t>
  </si>
  <si>
    <t xml:space="preserve">PGV-101G</t>
  </si>
  <si>
    <t xml:space="preserve">Common repair item</t>
  </si>
  <si>
    <t xml:space="preserve">DV-100</t>
  </si>
  <si>
    <t xml:space="preserve">DV100</t>
  </si>
  <si>
    <t xml:space="preserve">Solenoid</t>
  </si>
  <si>
    <t xml:space="preserve">458200</t>
  </si>
  <si>
    <t xml:space="preserve">Ewing</t>
  </si>
  <si>
    <t xml:space="preserve">Isolation / gate valve 1"</t>
  </si>
  <si>
    <t xml:space="preserve">Generic</t>
  </si>
  <si>
    <t xml:space="preserve">-</t>
  </si>
  <si>
    <t xml:space="preserve">Sensor</t>
  </si>
  <si>
    <t xml:space="preserve">Rain sensor (wired)</t>
  </si>
  <si>
    <t xml:space="preserve">Mini-Clik</t>
  </si>
  <si>
    <t xml:space="preserve">MINI-CLIK</t>
  </si>
  <si>
    <t xml:space="preserve">Rain sensor (wireless)</t>
  </si>
  <si>
    <t xml:space="preserve">Wireless Rain-Clik</t>
  </si>
  <si>
    <t xml:space="preserve">WRCLIK</t>
  </si>
  <si>
    <t xml:space="preserve">Spray Head</t>
  </si>
  <si>
    <t xml:space="preserve">Pop-up spray body 4"</t>
  </si>
  <si>
    <t xml:space="preserve">Pro-Spray PROS-04</t>
  </si>
  <si>
    <t xml:space="preserve">PROS-04</t>
  </si>
  <si>
    <t xml:space="preserve">Pop-up spray body 6"</t>
  </si>
  <si>
    <t xml:space="preserve">Pro-Spray PROS-06</t>
  </si>
  <si>
    <t xml:space="preserve">PROS-06</t>
  </si>
  <si>
    <t xml:space="preserve">Pop-up spray body 12"</t>
  </si>
  <si>
    <t xml:space="preserve">Pro-Spray PROS-12</t>
  </si>
  <si>
    <t xml:space="preserve">PROS-12</t>
  </si>
  <si>
    <t xml:space="preserve">For beds/shrubs</t>
  </si>
  <si>
    <t xml:space="preserve">Spray Nozzle</t>
  </si>
  <si>
    <t xml:space="preserve">Fixed/adjustable spray nozzle</t>
  </si>
  <si>
    <t xml:space="preserve">Pro-Spray nozzle</t>
  </si>
  <si>
    <t xml:space="preserve">PS-nozzle</t>
  </si>
  <si>
    <t xml:space="preserve">Very common</t>
  </si>
  <si>
    <t xml:space="preserve">MP Rotator nozzle</t>
  </si>
  <si>
    <t xml:space="preserve">MP2000</t>
  </si>
  <si>
    <t xml:space="preserve">MP200090210</t>
  </si>
  <si>
    <t xml:space="preserve">High-efficiency</t>
  </si>
  <si>
    <t xml:space="preserve">Rotor</t>
  </si>
  <si>
    <t xml:space="preserve">PGP Ultra</t>
  </si>
  <si>
    <t xml:space="preserve">PGP-ADJ</t>
  </si>
  <si>
    <t xml:space="preserve">5000</t>
  </si>
  <si>
    <t xml:space="preserve">5004PL</t>
  </si>
  <si>
    <t xml:space="preserve">Rotor nozzle set</t>
  </si>
  <si>
    <t xml:space="preserve">PGP nozzle rack</t>
  </si>
  <si>
    <t xml:space="preserve">PGP-NOZZLES</t>
  </si>
  <si>
    <t xml:space="preserve">set</t>
  </si>
  <si>
    <t xml:space="preserve">Drip</t>
  </si>
  <si>
    <t xml:space="preserve">Drip emitter</t>
  </si>
  <si>
    <t xml:space="preserve">XB-10PC</t>
  </si>
  <si>
    <t xml:space="preserve">XB10PC</t>
  </si>
  <si>
    <t xml:space="preserve">Drip tubing 1/2"</t>
  </si>
  <si>
    <t xml:space="preserve">XFD-0912</t>
  </si>
  <si>
    <t xml:space="preserve">XFD0912</t>
  </si>
  <si>
    <t xml:space="preserve">ft</t>
  </si>
  <si>
    <t xml:space="preserve">Priced per foot</t>
  </si>
  <si>
    <t xml:space="preserve">Drip conversion kit</t>
  </si>
  <si>
    <t xml:space="preserve">Pipe &amp; Fittings</t>
  </si>
  <si>
    <t xml:space="preserve">PVC pipe Class 200, 3/4"</t>
  </si>
  <si>
    <t xml:space="preserve">Cl 200</t>
  </si>
  <si>
    <t xml:space="preserve">PVC pipe Class 200, 1"</t>
  </si>
  <si>
    <t xml:space="preserve">Assorted PVC fittings</t>
  </si>
  <si>
    <t xml:space="preserve">Sch 40</t>
  </si>
  <si>
    <t xml:space="preserve">Swing joint / funny pipe</t>
  </si>
  <si>
    <t xml:space="preserve">For raising/lowering heads</t>
  </si>
  <si>
    <t xml:space="preserve">Wire &amp; Electrical</t>
  </si>
  <si>
    <t xml:space="preserve">Irrigation wire</t>
  </si>
  <si>
    <t xml:space="preserve">18ga multi</t>
  </si>
  <si>
    <t xml:space="preserve">Waterproof wire connectors</t>
  </si>
  <si>
    <t xml:space="preserve">3M</t>
  </si>
  <si>
    <t xml:space="preserve">DBR/Y-6</t>
  </si>
  <si>
    <t xml:space="preserve">DBRY6</t>
  </si>
  <si>
    <t xml:space="preserve">Valve Box</t>
  </si>
  <si>
    <t xml:space="preserve">Valve box 6" round</t>
  </si>
  <si>
    <t xml:space="preserve">NDS</t>
  </si>
  <si>
    <t xml:space="preserve">111BC</t>
  </si>
  <si>
    <t xml:space="preserve">Valve box 10" rectangular</t>
  </si>
  <si>
    <t xml:space="preserve">113BC</t>
  </si>
  <si>
    <t xml:space="preserve">Labor Type</t>
  </si>
  <si>
    <t xml:space="preserve">Rate</t>
  </si>
  <si>
    <t xml:space="preserve">Service call / trip charge</t>
  </si>
  <si>
    <t xml:space="preserve">flat</t>
  </si>
  <si>
    <t xml:space="preserve">Applied once per visit</t>
  </si>
  <si>
    <t xml:space="preserve">Standard irrigation labor</t>
  </si>
  <si>
    <t xml:space="preserve">per hour</t>
  </si>
  <si>
    <t xml:space="preserve">Skilled / backflow labor</t>
  </si>
  <si>
    <t xml:space="preserve">Backflow, mainline, electrical</t>
  </si>
  <si>
    <t xml:space="preserve">Trenching</t>
  </si>
  <si>
    <t xml:space="preserve">per foot</t>
  </si>
  <si>
    <t xml:space="preserve">Hand or machine</t>
  </si>
  <si>
    <t xml:space="preserve">Inspection Issue</t>
  </si>
  <si>
    <t xml:space="preserve">Typical Fix</t>
  </si>
  <si>
    <t xml:space="preserve">Default Part / Assembly</t>
  </si>
  <si>
    <t xml:space="preserve">Default Labor</t>
  </si>
  <si>
    <t xml:space="preserve">Repair or Replace</t>
  </si>
  <si>
    <t xml:space="preserve">Default Severity</t>
  </si>
  <si>
    <t xml:space="preserve">Broken Sprinkler</t>
  </si>
  <si>
    <t xml:space="preserve">Replace head</t>
  </si>
  <si>
    <t xml:space="preserve">Pop-up spray body OR Rotor (by type)</t>
  </si>
  <si>
    <t xml:space="preserve">Standard</t>
  </si>
  <si>
    <t xml:space="preserve">Replace</t>
  </si>
  <si>
    <t xml:space="preserve">Functional</t>
  </si>
  <si>
    <t xml:space="preserve">Attribute 'head type' picks spray vs rotor</t>
  </si>
  <si>
    <t xml:space="preserve">Broken Nozzle</t>
  </si>
  <si>
    <t xml:space="preserve">Replace nozzle</t>
  </si>
  <si>
    <t xml:space="preserve">Spray nozzle OR Rotor nozzle</t>
  </si>
  <si>
    <t xml:space="preserve">Poor Head Layout</t>
  </si>
  <si>
    <t xml:space="preserve">Relocate / add heads</t>
  </si>
  <si>
    <t xml:space="preserve">Heads + pipe + fittings</t>
  </si>
  <si>
    <t xml:space="preserve">Repair</t>
  </si>
  <si>
    <t xml:space="preserve">Efficiency</t>
  </si>
  <si>
    <t xml:space="preserve">May become an assembly</t>
  </si>
  <si>
    <t xml:space="preserve">Adjust Nozzles</t>
  </si>
  <si>
    <t xml:space="preserve">Adjust in place</t>
  </si>
  <si>
    <t xml:space="preserve">(none)</t>
  </si>
  <si>
    <t xml:space="preserve">Labor only</t>
  </si>
  <si>
    <t xml:space="preserve">Heads Not Aligned</t>
  </si>
  <si>
    <t xml:space="preserve">Realign heads</t>
  </si>
  <si>
    <t xml:space="preserve">Raise Heads</t>
  </si>
  <si>
    <t xml:space="preserve">Raise to grade</t>
  </si>
  <si>
    <t xml:space="preserve">Lower Heads</t>
  </si>
  <si>
    <t xml:space="preserve">Lower to grade</t>
  </si>
  <si>
    <t xml:space="preserve">Under Pressure</t>
  </si>
  <si>
    <t xml:space="preserve">Diagnose / upsize</t>
  </si>
  <si>
    <t xml:space="preserve">Varies</t>
  </si>
  <si>
    <t xml:space="preserve">Skilled</t>
  </si>
  <si>
    <t xml:space="preserve">Investigate cause first</t>
  </si>
  <si>
    <t xml:space="preserve">Over Pressure</t>
  </si>
  <si>
    <t xml:space="preserve">Add pressure regulation</t>
  </si>
  <si>
    <t xml:space="preserve">PRS spray body / regulator</t>
  </si>
  <si>
    <t xml:space="preserve">Obstructions</t>
  </si>
  <si>
    <t xml:space="preserve">Clear obstruction</t>
  </si>
  <si>
    <t xml:space="preserve">Overspray</t>
  </si>
  <si>
    <t xml:space="preserve">Adjust or swap nozzle</t>
  </si>
  <si>
    <t xml:space="preserve">Spray nozzle</t>
  </si>
  <si>
    <t xml:space="preserve">Needs Hydrozoning</t>
  </si>
  <si>
    <t xml:space="preserve">Re-zone / add valve</t>
  </si>
  <si>
    <t xml:space="preserve">Electric valve + wire</t>
  </si>
  <si>
    <t xml:space="preserve">Bigger job; assembly</t>
  </si>
  <si>
    <t xml:space="preserve">Leak in Lateral</t>
  </si>
  <si>
    <t xml:space="preserve">Repair lateral line</t>
  </si>
  <si>
    <t xml:space="preserve">PVC pipe + fittings</t>
  </si>
  <si>
    <t xml:space="preserve">Leak in Main</t>
  </si>
  <si>
    <t xml:space="preserve">Repair mainline</t>
  </si>
  <si>
    <t xml:space="preserve">Safety</t>
  </si>
  <si>
    <t xml:space="preserve">Water loss / pressurized</t>
  </si>
  <si>
    <t xml:space="preserve">Exposed Pipe</t>
  </si>
  <si>
    <t xml:space="preserve">Bury / protect pipe</t>
  </si>
  <si>
    <t xml:space="preserve">PVC pipe (if damaged)</t>
  </si>
  <si>
    <t xml:space="preserve">Exposed Wire</t>
  </si>
  <si>
    <t xml:space="preserve">Bury / splice wire</t>
  </si>
  <si>
    <t xml:space="preserve">Wire + connectors</t>
  </si>
  <si>
    <t xml:space="preserve">Mixed Manufacturers</t>
  </si>
  <si>
    <t xml:space="preserve">Standardize heads in zone</t>
  </si>
  <si>
    <t xml:space="preserve">Matching heads</t>
  </si>
  <si>
    <t xml:space="preserve">Uneven precip rates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</si>
</sst>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5D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3A"/>
        <bgColor rgb="FF555555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23.8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9</v>
      </c>
      <c r="B9" s="4"/>
    </row>
    <row r="10" customFormat="false" ht="1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23.8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5" t="s">
        <v>16</v>
      </c>
      <c r="B14" s="4"/>
    </row>
    <row r="15" customFormat="false" ht="15" hidden="false" customHeight="false" outlineLevel="0" collapsed="false">
      <c r="A15" s="3" t="s">
        <v>17</v>
      </c>
      <c r="B15" s="4" t="s">
        <v>18</v>
      </c>
    </row>
    <row r="16" customFormat="false" ht="15" hidden="false" customHeight="false" outlineLevel="0" collapsed="false">
      <c r="A16" s="3" t="s">
        <v>19</v>
      </c>
      <c r="B16" s="4" t="s">
        <v>20</v>
      </c>
    </row>
    <row r="17" customFormat="false" ht="15" hidden="false" customHeight="false" outlineLevel="0" collapsed="false">
      <c r="A17" s="3" t="s">
        <v>21</v>
      </c>
      <c r="B17" s="4" t="s">
        <v>22</v>
      </c>
    </row>
    <row r="18" customFormat="false" ht="15" hidden="false" customHeight="false" outlineLevel="0" collapsed="false">
      <c r="A18" s="3" t="s">
        <v>23</v>
      </c>
      <c r="B18" s="4" t="s">
        <v>24</v>
      </c>
    </row>
    <row r="19" customFormat="false" ht="15" hidden="false" customHeight="false" outlineLevel="0" collapsed="false">
      <c r="A19" s="3" t="s">
        <v>25</v>
      </c>
      <c r="B19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false" outlineLevel="0" max="12" min="12" style="0" width="24"/>
  </cols>
  <sheetData>
    <row r="1" customFormat="false" ht="26.8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19</v>
      </c>
      <c r="I1" s="6" t="s">
        <v>21</v>
      </c>
      <c r="J1" s="6" t="s">
        <v>23</v>
      </c>
      <c r="K1" s="6" t="s">
        <v>25</v>
      </c>
      <c r="L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8" t="s">
        <v>39</v>
      </c>
      <c r="F2" s="8" t="s">
        <v>40</v>
      </c>
      <c r="G2" s="7" t="s">
        <v>41</v>
      </c>
      <c r="H2" s="9" t="n">
        <v>90</v>
      </c>
      <c r="I2" s="9" t="n">
        <v>160</v>
      </c>
      <c r="J2" s="10" t="n">
        <f aca="false">IF(H2=0,0,(I2-H2)/H2)</f>
        <v>0.777777777777778</v>
      </c>
      <c r="K2" s="8" t="s">
        <v>42</v>
      </c>
      <c r="L2" s="7" t="s">
        <v>43</v>
      </c>
    </row>
    <row r="3" customFormat="false" ht="15" hidden="false" customHeight="false" outlineLevel="0" collapsed="false">
      <c r="A3" s="7" t="s">
        <v>35</v>
      </c>
      <c r="B3" s="7" t="s">
        <v>44</v>
      </c>
      <c r="C3" s="7" t="s">
        <v>37</v>
      </c>
      <c r="D3" s="7" t="s">
        <v>45</v>
      </c>
      <c r="E3" s="8" t="s">
        <v>39</v>
      </c>
      <c r="F3" s="8" t="s">
        <v>46</v>
      </c>
      <c r="G3" s="7" t="s">
        <v>41</v>
      </c>
      <c r="H3" s="9" t="n">
        <v>140</v>
      </c>
      <c r="I3" s="9" t="n">
        <v>240</v>
      </c>
      <c r="J3" s="10" t="n">
        <f aca="false">IF(H3=0,0,(I3-H3)/H3)</f>
        <v>0.714285714285714</v>
      </c>
      <c r="K3" s="8" t="s">
        <v>47</v>
      </c>
      <c r="L3" s="7"/>
    </row>
    <row r="4" customFormat="false" ht="15" hidden="false" customHeight="false" outlineLevel="0" collapsed="false">
      <c r="A4" s="7" t="s">
        <v>35</v>
      </c>
      <c r="B4" s="7" t="s">
        <v>44</v>
      </c>
      <c r="C4" s="7" t="s">
        <v>48</v>
      </c>
      <c r="D4" s="7" t="s">
        <v>49</v>
      </c>
      <c r="E4" s="8" t="s">
        <v>50</v>
      </c>
      <c r="F4" s="8" t="s">
        <v>51</v>
      </c>
      <c r="G4" s="7" t="s">
        <v>41</v>
      </c>
      <c r="H4" s="9" t="n">
        <v>120</v>
      </c>
      <c r="I4" s="9" t="n">
        <v>210</v>
      </c>
      <c r="J4" s="10" t="n">
        <f aca="false">IF(H4=0,0,(I4-H4)/H4)</f>
        <v>0.75</v>
      </c>
      <c r="K4" s="8" t="s">
        <v>47</v>
      </c>
      <c r="L4" s="7"/>
    </row>
    <row r="5" customFormat="false" ht="15" hidden="false" customHeight="false" outlineLevel="0" collapsed="false">
      <c r="A5" s="7" t="s">
        <v>52</v>
      </c>
      <c r="B5" s="7" t="s">
        <v>53</v>
      </c>
      <c r="C5" s="7" t="s">
        <v>54</v>
      </c>
      <c r="D5" s="7" t="s">
        <v>55</v>
      </c>
      <c r="E5" s="8" t="s">
        <v>50</v>
      </c>
      <c r="F5" s="8" t="s">
        <v>56</v>
      </c>
      <c r="G5" s="7" t="s">
        <v>41</v>
      </c>
      <c r="H5" s="9" t="n">
        <v>70</v>
      </c>
      <c r="I5" s="9" t="n">
        <v>130</v>
      </c>
      <c r="J5" s="10" t="n">
        <f aca="false">IF(H5=0,0,(I5-H5)/H5)</f>
        <v>0.857142857142857</v>
      </c>
      <c r="K5" s="8" t="s">
        <v>47</v>
      </c>
      <c r="L5" s="7" t="s">
        <v>57</v>
      </c>
    </row>
    <row r="6" customFormat="false" ht="15" hidden="false" customHeight="false" outlineLevel="0" collapsed="false">
      <c r="A6" s="7" t="s">
        <v>52</v>
      </c>
      <c r="B6" s="7" t="s">
        <v>58</v>
      </c>
      <c r="C6" s="7" t="s">
        <v>59</v>
      </c>
      <c r="D6" s="7" t="s">
        <v>60</v>
      </c>
      <c r="E6" s="8" t="s">
        <v>50</v>
      </c>
      <c r="F6" s="8" t="s">
        <v>61</v>
      </c>
      <c r="G6" s="7" t="s">
        <v>41</v>
      </c>
      <c r="H6" s="9" t="n">
        <v>60</v>
      </c>
      <c r="I6" s="9" t="n">
        <v>110</v>
      </c>
      <c r="J6" s="10" t="n">
        <f aca="false">IF(H6=0,0,(I6-H6)/H6)</f>
        <v>0.833333333333333</v>
      </c>
      <c r="K6" s="8" t="s">
        <v>47</v>
      </c>
      <c r="L6" s="7"/>
    </row>
    <row r="7" customFormat="false" ht="15" hidden="false" customHeight="false" outlineLevel="0" collapsed="false">
      <c r="A7" s="7" t="s">
        <v>52</v>
      </c>
      <c r="B7" s="7" t="s">
        <v>62</v>
      </c>
      <c r="C7" s="7" t="s">
        <v>54</v>
      </c>
      <c r="D7" s="7" t="s">
        <v>63</v>
      </c>
      <c r="E7" s="8" t="s">
        <v>50</v>
      </c>
      <c r="F7" s="8" t="s">
        <v>64</v>
      </c>
      <c r="G7" s="7" t="s">
        <v>41</v>
      </c>
      <c r="H7" s="9" t="n">
        <v>20</v>
      </c>
      <c r="I7" s="9" t="n">
        <v>45</v>
      </c>
      <c r="J7" s="10" t="n">
        <f aca="false">IF(H7=0,0,(I7-H7)/H7)</f>
        <v>1.25</v>
      </c>
      <c r="K7" s="8" t="s">
        <v>42</v>
      </c>
      <c r="L7" s="7"/>
    </row>
    <row r="8" customFormat="false" ht="15" hidden="false" customHeight="false" outlineLevel="0" collapsed="false">
      <c r="A8" s="7" t="s">
        <v>65</v>
      </c>
      <c r="B8" s="7" t="s">
        <v>66</v>
      </c>
      <c r="C8" s="7" t="s">
        <v>37</v>
      </c>
      <c r="D8" s="7" t="s">
        <v>67</v>
      </c>
      <c r="E8" s="8" t="s">
        <v>39</v>
      </c>
      <c r="F8" s="8" t="s">
        <v>67</v>
      </c>
      <c r="G8" s="7" t="s">
        <v>41</v>
      </c>
      <c r="H8" s="9" t="n">
        <v>16</v>
      </c>
      <c r="I8" s="9" t="n">
        <v>35</v>
      </c>
      <c r="J8" s="10" t="n">
        <f aca="false">IF(H8=0,0,(I8-H8)/H8)</f>
        <v>1.1875</v>
      </c>
      <c r="K8" s="8" t="s">
        <v>42</v>
      </c>
      <c r="L8" s="7" t="s">
        <v>68</v>
      </c>
    </row>
    <row r="9" customFormat="false" ht="15" hidden="false" customHeight="false" outlineLevel="0" collapsed="false">
      <c r="A9" s="7" t="s">
        <v>65</v>
      </c>
      <c r="B9" s="7" t="s">
        <v>66</v>
      </c>
      <c r="C9" s="7" t="s">
        <v>48</v>
      </c>
      <c r="D9" s="7" t="s">
        <v>69</v>
      </c>
      <c r="E9" s="8" t="s">
        <v>50</v>
      </c>
      <c r="F9" s="8" t="s">
        <v>70</v>
      </c>
      <c r="G9" s="7" t="s">
        <v>41</v>
      </c>
      <c r="H9" s="9" t="n">
        <v>15</v>
      </c>
      <c r="I9" s="9" t="n">
        <v>33</v>
      </c>
      <c r="J9" s="10" t="n">
        <f aca="false">IF(H9=0,0,(I9-H9)/H9)</f>
        <v>1.2</v>
      </c>
      <c r="K9" s="8" t="s">
        <v>42</v>
      </c>
      <c r="L9" s="7"/>
    </row>
    <row r="10" customFormat="false" ht="15" hidden="false" customHeight="false" outlineLevel="0" collapsed="false">
      <c r="A10" s="7" t="s">
        <v>65</v>
      </c>
      <c r="B10" s="7" t="s">
        <v>71</v>
      </c>
      <c r="C10" s="7" t="s">
        <v>37</v>
      </c>
      <c r="D10" s="7" t="s">
        <v>72</v>
      </c>
      <c r="E10" s="8" t="s">
        <v>73</v>
      </c>
      <c r="F10" s="8" t="s">
        <v>72</v>
      </c>
      <c r="G10" s="7" t="s">
        <v>41</v>
      </c>
      <c r="H10" s="9" t="n">
        <v>10</v>
      </c>
      <c r="I10" s="9" t="n">
        <v>25</v>
      </c>
      <c r="J10" s="10" t="n">
        <f aca="false">IF(H10=0,0,(I10-H10)/H10)</f>
        <v>1.5</v>
      </c>
      <c r="K10" s="8" t="s">
        <v>42</v>
      </c>
      <c r="L10" s="7"/>
    </row>
    <row r="11" customFormat="false" ht="15" hidden="false" customHeight="false" outlineLevel="0" collapsed="false">
      <c r="A11" s="7" t="s">
        <v>65</v>
      </c>
      <c r="B11" s="7" t="s">
        <v>74</v>
      </c>
      <c r="C11" s="7" t="s">
        <v>75</v>
      </c>
      <c r="D11" s="7" t="s">
        <v>76</v>
      </c>
      <c r="E11" s="8" t="s">
        <v>50</v>
      </c>
      <c r="F11" s="8" t="s">
        <v>76</v>
      </c>
      <c r="G11" s="7" t="s">
        <v>41</v>
      </c>
      <c r="H11" s="9" t="n">
        <v>12</v>
      </c>
      <c r="I11" s="9" t="n">
        <v>28</v>
      </c>
      <c r="J11" s="10" t="n">
        <f aca="false">IF(H11=0,0,(I11-H11)/H11)</f>
        <v>1.33333333333333</v>
      </c>
      <c r="K11" s="8" t="s">
        <v>47</v>
      </c>
      <c r="L11" s="7"/>
    </row>
    <row r="12" customFormat="false" ht="15" hidden="false" customHeight="false" outlineLevel="0" collapsed="false">
      <c r="A12" s="7" t="s">
        <v>77</v>
      </c>
      <c r="B12" s="7" t="s">
        <v>78</v>
      </c>
      <c r="C12" s="7" t="s">
        <v>37</v>
      </c>
      <c r="D12" s="7" t="s">
        <v>79</v>
      </c>
      <c r="E12" s="8" t="s">
        <v>73</v>
      </c>
      <c r="F12" s="8" t="s">
        <v>80</v>
      </c>
      <c r="G12" s="7" t="s">
        <v>41</v>
      </c>
      <c r="H12" s="9" t="n">
        <v>22</v>
      </c>
      <c r="I12" s="9" t="n">
        <v>45</v>
      </c>
      <c r="J12" s="10" t="n">
        <f aca="false">IF(H12=0,0,(I12-H12)/H12)</f>
        <v>1.04545454545455</v>
      </c>
      <c r="K12" s="8" t="s">
        <v>42</v>
      </c>
      <c r="L12" s="7"/>
    </row>
    <row r="13" customFormat="false" ht="15" hidden="false" customHeight="false" outlineLevel="0" collapsed="false">
      <c r="A13" s="7" t="s">
        <v>77</v>
      </c>
      <c r="B13" s="7" t="s">
        <v>81</v>
      </c>
      <c r="C13" s="7" t="s">
        <v>37</v>
      </c>
      <c r="D13" s="7" t="s">
        <v>82</v>
      </c>
      <c r="E13" s="8" t="s">
        <v>73</v>
      </c>
      <c r="F13" s="8" t="s">
        <v>83</v>
      </c>
      <c r="G13" s="7" t="s">
        <v>41</v>
      </c>
      <c r="H13" s="9" t="n">
        <v>40</v>
      </c>
      <c r="I13" s="9" t="n">
        <v>75</v>
      </c>
      <c r="J13" s="10" t="n">
        <f aca="false">IF(H13=0,0,(I13-H13)/H13)</f>
        <v>0.875</v>
      </c>
      <c r="K13" s="8" t="s">
        <v>47</v>
      </c>
      <c r="L13" s="7"/>
    </row>
    <row r="14" customFormat="false" ht="15" hidden="false" customHeight="false" outlineLevel="0" collapsed="false">
      <c r="A14" s="7" t="s">
        <v>84</v>
      </c>
      <c r="B14" s="7" t="s">
        <v>85</v>
      </c>
      <c r="C14" s="7" t="s">
        <v>37</v>
      </c>
      <c r="D14" s="7" t="s">
        <v>86</v>
      </c>
      <c r="E14" s="8" t="s">
        <v>39</v>
      </c>
      <c r="F14" s="8" t="s">
        <v>87</v>
      </c>
      <c r="G14" s="7" t="s">
        <v>41</v>
      </c>
      <c r="H14" s="9" t="n">
        <v>3</v>
      </c>
      <c r="I14" s="9" t="n">
        <v>8</v>
      </c>
      <c r="J14" s="10" t="n">
        <f aca="false">IF(H14=0,0,(I14-H14)/H14)</f>
        <v>1.66666666666667</v>
      </c>
      <c r="K14" s="8" t="s">
        <v>42</v>
      </c>
      <c r="L14" s="7"/>
    </row>
    <row r="15" customFormat="false" ht="15" hidden="false" customHeight="false" outlineLevel="0" collapsed="false">
      <c r="A15" s="7" t="s">
        <v>84</v>
      </c>
      <c r="B15" s="7" t="s">
        <v>88</v>
      </c>
      <c r="C15" s="7" t="s">
        <v>37</v>
      </c>
      <c r="D15" s="7" t="s">
        <v>89</v>
      </c>
      <c r="E15" s="8" t="s">
        <v>39</v>
      </c>
      <c r="F15" s="8" t="s">
        <v>90</v>
      </c>
      <c r="G15" s="7" t="s">
        <v>41</v>
      </c>
      <c r="H15" s="9" t="n">
        <v>4</v>
      </c>
      <c r="I15" s="9" t="n">
        <v>10</v>
      </c>
      <c r="J15" s="10" t="n">
        <f aca="false">IF(H15=0,0,(I15-H15)/H15)</f>
        <v>1.5</v>
      </c>
      <c r="K15" s="8" t="s">
        <v>42</v>
      </c>
      <c r="L15" s="7"/>
    </row>
    <row r="16" customFormat="false" ht="15" hidden="false" customHeight="false" outlineLevel="0" collapsed="false">
      <c r="A16" s="7" t="s">
        <v>84</v>
      </c>
      <c r="B16" s="7" t="s">
        <v>91</v>
      </c>
      <c r="C16" s="7" t="s">
        <v>37</v>
      </c>
      <c r="D16" s="7" t="s">
        <v>92</v>
      </c>
      <c r="E16" s="8" t="s">
        <v>73</v>
      </c>
      <c r="F16" s="8" t="s">
        <v>93</v>
      </c>
      <c r="G16" s="7" t="s">
        <v>41</v>
      </c>
      <c r="H16" s="9" t="n">
        <v>6</v>
      </c>
      <c r="I16" s="9" t="n">
        <v>14</v>
      </c>
      <c r="J16" s="10" t="n">
        <f aca="false">IF(H16=0,0,(I16-H16)/H16)</f>
        <v>1.33333333333333</v>
      </c>
      <c r="K16" s="8" t="s">
        <v>47</v>
      </c>
      <c r="L16" s="7" t="s">
        <v>94</v>
      </c>
    </row>
    <row r="17" customFormat="false" ht="15" hidden="false" customHeight="false" outlineLevel="0" collapsed="false">
      <c r="A17" s="7" t="s">
        <v>95</v>
      </c>
      <c r="B17" s="7" t="s">
        <v>96</v>
      </c>
      <c r="C17" s="7" t="s">
        <v>37</v>
      </c>
      <c r="D17" s="7" t="s">
        <v>97</v>
      </c>
      <c r="E17" s="8" t="s">
        <v>39</v>
      </c>
      <c r="F17" s="8" t="s">
        <v>98</v>
      </c>
      <c r="G17" s="7" t="s">
        <v>41</v>
      </c>
      <c r="H17" s="9" t="n">
        <v>1.5</v>
      </c>
      <c r="I17" s="9" t="n">
        <v>5</v>
      </c>
      <c r="J17" s="10" t="n">
        <f aca="false">IF(H17=0,0,(I17-H17)/H17)</f>
        <v>2.33333333333333</v>
      </c>
      <c r="K17" s="8" t="s">
        <v>42</v>
      </c>
      <c r="L17" s="7" t="s">
        <v>99</v>
      </c>
    </row>
    <row r="18" customFormat="false" ht="15" hidden="false" customHeight="false" outlineLevel="0" collapsed="false">
      <c r="A18" s="7" t="s">
        <v>95</v>
      </c>
      <c r="B18" s="7" t="s">
        <v>100</v>
      </c>
      <c r="C18" s="7" t="s">
        <v>37</v>
      </c>
      <c r="D18" s="7" t="s">
        <v>101</v>
      </c>
      <c r="E18" s="8" t="s">
        <v>73</v>
      </c>
      <c r="F18" s="8" t="s">
        <v>102</v>
      </c>
      <c r="G18" s="7" t="s">
        <v>41</v>
      </c>
      <c r="H18" s="9" t="n">
        <v>6</v>
      </c>
      <c r="I18" s="9" t="n">
        <v>14</v>
      </c>
      <c r="J18" s="10" t="n">
        <f aca="false">IF(H18=0,0,(I18-H18)/H18)</f>
        <v>1.33333333333333</v>
      </c>
      <c r="K18" s="8" t="s">
        <v>42</v>
      </c>
      <c r="L18" s="7" t="s">
        <v>103</v>
      </c>
    </row>
    <row r="19" customFormat="false" ht="15" hidden="false" customHeight="false" outlineLevel="0" collapsed="false">
      <c r="A19" s="7" t="s">
        <v>104</v>
      </c>
      <c r="B19" s="7" t="s">
        <v>104</v>
      </c>
      <c r="C19" s="7" t="s">
        <v>37</v>
      </c>
      <c r="D19" s="7" t="s">
        <v>105</v>
      </c>
      <c r="E19" s="8" t="s">
        <v>39</v>
      </c>
      <c r="F19" s="8" t="s">
        <v>106</v>
      </c>
      <c r="G19" s="7" t="s">
        <v>41</v>
      </c>
      <c r="H19" s="9" t="n">
        <v>10</v>
      </c>
      <c r="I19" s="9" t="n">
        <v>25</v>
      </c>
      <c r="J19" s="10" t="n">
        <f aca="false">IF(H19=0,0,(I19-H19)/H19)</f>
        <v>1.5</v>
      </c>
      <c r="K19" s="8" t="s">
        <v>42</v>
      </c>
      <c r="L19" s="7" t="s">
        <v>68</v>
      </c>
    </row>
    <row r="20" customFormat="false" ht="15" hidden="false" customHeight="false" outlineLevel="0" collapsed="false">
      <c r="A20" s="7" t="s">
        <v>104</v>
      </c>
      <c r="B20" s="7" t="s">
        <v>104</v>
      </c>
      <c r="C20" s="7" t="s">
        <v>48</v>
      </c>
      <c r="D20" s="7" t="s">
        <v>107</v>
      </c>
      <c r="E20" s="8" t="s">
        <v>50</v>
      </c>
      <c r="F20" s="8" t="s">
        <v>108</v>
      </c>
      <c r="G20" s="7" t="s">
        <v>41</v>
      </c>
      <c r="H20" s="9" t="n">
        <v>11</v>
      </c>
      <c r="I20" s="9" t="n">
        <v>26</v>
      </c>
      <c r="J20" s="10" t="n">
        <f aca="false">IF(H20=0,0,(I20-H20)/H20)</f>
        <v>1.36363636363636</v>
      </c>
      <c r="K20" s="8" t="s">
        <v>47</v>
      </c>
      <c r="L20" s="7"/>
    </row>
    <row r="21" customFormat="false" ht="15" hidden="false" customHeight="false" outlineLevel="0" collapsed="false">
      <c r="A21" s="7" t="s">
        <v>104</v>
      </c>
      <c r="B21" s="7" t="s">
        <v>109</v>
      </c>
      <c r="C21" s="7" t="s">
        <v>37</v>
      </c>
      <c r="D21" s="7" t="s">
        <v>110</v>
      </c>
      <c r="E21" s="8" t="s">
        <v>73</v>
      </c>
      <c r="F21" s="8" t="s">
        <v>111</v>
      </c>
      <c r="G21" s="7" t="s">
        <v>112</v>
      </c>
      <c r="H21" s="9" t="n">
        <v>2</v>
      </c>
      <c r="I21" s="9" t="n">
        <v>6</v>
      </c>
      <c r="J21" s="10" t="n">
        <f aca="false">IF(H21=0,0,(I21-H21)/H21)</f>
        <v>2</v>
      </c>
      <c r="K21" s="8" t="s">
        <v>42</v>
      </c>
      <c r="L21" s="7"/>
    </row>
    <row r="22" customFormat="false" ht="15" hidden="false" customHeight="false" outlineLevel="0" collapsed="false">
      <c r="A22" s="7" t="s">
        <v>113</v>
      </c>
      <c r="B22" s="7" t="s">
        <v>114</v>
      </c>
      <c r="C22" s="7" t="s">
        <v>48</v>
      </c>
      <c r="D22" s="7" t="s">
        <v>115</v>
      </c>
      <c r="E22" s="8" t="s">
        <v>50</v>
      </c>
      <c r="F22" s="8" t="s">
        <v>116</v>
      </c>
      <c r="G22" s="7" t="s">
        <v>41</v>
      </c>
      <c r="H22" s="9" t="n">
        <v>0.5</v>
      </c>
      <c r="I22" s="9" t="n">
        <v>2</v>
      </c>
      <c r="J22" s="10" t="n">
        <f aca="false">IF(H22=0,0,(I22-H22)/H22)</f>
        <v>3</v>
      </c>
      <c r="K22" s="8" t="s">
        <v>42</v>
      </c>
      <c r="L22" s="7"/>
    </row>
    <row r="23" customFormat="false" ht="15" hidden="false" customHeight="false" outlineLevel="0" collapsed="false">
      <c r="A23" s="7" t="s">
        <v>113</v>
      </c>
      <c r="B23" s="7" t="s">
        <v>117</v>
      </c>
      <c r="C23" s="7" t="s">
        <v>48</v>
      </c>
      <c r="D23" s="7" t="s">
        <v>118</v>
      </c>
      <c r="E23" s="8" t="s">
        <v>50</v>
      </c>
      <c r="F23" s="8" t="s">
        <v>119</v>
      </c>
      <c r="G23" s="7" t="s">
        <v>120</v>
      </c>
      <c r="H23" s="9" t="n">
        <v>0.25</v>
      </c>
      <c r="I23" s="9" t="n">
        <v>1</v>
      </c>
      <c r="J23" s="10" t="n">
        <f aca="false">IF(H23=0,0,(I23-H23)/H23)</f>
        <v>3</v>
      </c>
      <c r="K23" s="8" t="s">
        <v>47</v>
      </c>
      <c r="L23" s="7" t="s">
        <v>121</v>
      </c>
    </row>
    <row r="24" customFormat="false" ht="15" hidden="false" customHeight="false" outlineLevel="0" collapsed="false">
      <c r="A24" s="7" t="s">
        <v>113</v>
      </c>
      <c r="B24" s="7" t="s">
        <v>122</v>
      </c>
      <c r="C24" s="7" t="s">
        <v>37</v>
      </c>
      <c r="D24" s="7" t="s">
        <v>76</v>
      </c>
      <c r="E24" s="8" t="s">
        <v>73</v>
      </c>
      <c r="F24" s="8" t="s">
        <v>76</v>
      </c>
      <c r="G24" s="7" t="s">
        <v>41</v>
      </c>
      <c r="H24" s="9" t="n">
        <v>8</v>
      </c>
      <c r="I24" s="9" t="n">
        <v>18</v>
      </c>
      <c r="J24" s="10" t="n">
        <f aca="false">IF(H24=0,0,(I24-H24)/H24)</f>
        <v>1.25</v>
      </c>
      <c r="K24" s="8" t="s">
        <v>47</v>
      </c>
      <c r="L24" s="7"/>
    </row>
    <row r="25" customFormat="false" ht="15" hidden="false" customHeight="false" outlineLevel="0" collapsed="false">
      <c r="A25" s="7" t="s">
        <v>123</v>
      </c>
      <c r="B25" s="7" t="s">
        <v>124</v>
      </c>
      <c r="C25" s="7" t="s">
        <v>76</v>
      </c>
      <c r="D25" s="7" t="s">
        <v>125</v>
      </c>
      <c r="E25" s="8" t="s">
        <v>50</v>
      </c>
      <c r="F25" s="8" t="s">
        <v>76</v>
      </c>
      <c r="G25" s="7" t="s">
        <v>120</v>
      </c>
      <c r="H25" s="9" t="n">
        <v>0.4</v>
      </c>
      <c r="I25" s="9" t="n">
        <v>1.25</v>
      </c>
      <c r="J25" s="10" t="n">
        <f aca="false">IF(H25=0,0,(I25-H25)/H25)</f>
        <v>2.125</v>
      </c>
      <c r="K25" s="8" t="s">
        <v>42</v>
      </c>
      <c r="L25" s="7" t="s">
        <v>121</v>
      </c>
    </row>
    <row r="26" customFormat="false" ht="15" hidden="false" customHeight="false" outlineLevel="0" collapsed="false">
      <c r="A26" s="7" t="s">
        <v>123</v>
      </c>
      <c r="B26" s="7" t="s">
        <v>126</v>
      </c>
      <c r="C26" s="7" t="s">
        <v>76</v>
      </c>
      <c r="D26" s="7" t="s">
        <v>125</v>
      </c>
      <c r="E26" s="8" t="s">
        <v>50</v>
      </c>
      <c r="F26" s="8" t="s">
        <v>76</v>
      </c>
      <c r="G26" s="7" t="s">
        <v>120</v>
      </c>
      <c r="H26" s="9" t="n">
        <v>0.6</v>
      </c>
      <c r="I26" s="9" t="n">
        <v>1.75</v>
      </c>
      <c r="J26" s="10" t="n">
        <f aca="false">IF(H26=0,0,(I26-H26)/H26)</f>
        <v>1.91666666666667</v>
      </c>
      <c r="K26" s="8" t="s">
        <v>47</v>
      </c>
      <c r="L26" s="7" t="s">
        <v>121</v>
      </c>
    </row>
    <row r="27" customFormat="false" ht="15" hidden="false" customHeight="false" outlineLevel="0" collapsed="false">
      <c r="A27" s="7" t="s">
        <v>123</v>
      </c>
      <c r="B27" s="7" t="s">
        <v>127</v>
      </c>
      <c r="C27" s="7" t="s">
        <v>76</v>
      </c>
      <c r="D27" s="7" t="s">
        <v>128</v>
      </c>
      <c r="E27" s="8" t="s">
        <v>50</v>
      </c>
      <c r="F27" s="8" t="s">
        <v>76</v>
      </c>
      <c r="G27" s="7" t="s">
        <v>41</v>
      </c>
      <c r="H27" s="9" t="n">
        <v>1</v>
      </c>
      <c r="I27" s="9" t="n">
        <v>4</v>
      </c>
      <c r="J27" s="10" t="n">
        <f aca="false">IF(H27=0,0,(I27-H27)/H27)</f>
        <v>3</v>
      </c>
      <c r="K27" s="8" t="s">
        <v>42</v>
      </c>
      <c r="L27" s="7"/>
    </row>
    <row r="28" customFormat="false" ht="15" hidden="false" customHeight="false" outlineLevel="0" collapsed="false">
      <c r="A28" s="7" t="s">
        <v>123</v>
      </c>
      <c r="B28" s="7" t="s">
        <v>129</v>
      </c>
      <c r="C28" s="7" t="s">
        <v>76</v>
      </c>
      <c r="D28" s="7" t="s">
        <v>76</v>
      </c>
      <c r="E28" s="8" t="s">
        <v>73</v>
      </c>
      <c r="F28" s="8" t="s">
        <v>76</v>
      </c>
      <c r="G28" s="7" t="s">
        <v>41</v>
      </c>
      <c r="H28" s="9" t="n">
        <v>2</v>
      </c>
      <c r="I28" s="9" t="n">
        <v>6</v>
      </c>
      <c r="J28" s="10" t="n">
        <f aca="false">IF(H28=0,0,(I28-H28)/H28)</f>
        <v>2</v>
      </c>
      <c r="K28" s="8" t="s">
        <v>42</v>
      </c>
      <c r="L28" s="7" t="s">
        <v>130</v>
      </c>
    </row>
    <row r="29" customFormat="false" ht="15" hidden="false" customHeight="false" outlineLevel="0" collapsed="false">
      <c r="A29" s="7" t="s">
        <v>131</v>
      </c>
      <c r="B29" s="7" t="s">
        <v>132</v>
      </c>
      <c r="C29" s="7" t="s">
        <v>76</v>
      </c>
      <c r="D29" s="7" t="s">
        <v>133</v>
      </c>
      <c r="E29" s="8" t="s">
        <v>50</v>
      </c>
      <c r="F29" s="8" t="s">
        <v>76</v>
      </c>
      <c r="G29" s="7" t="s">
        <v>120</v>
      </c>
      <c r="H29" s="9" t="n">
        <v>0.2</v>
      </c>
      <c r="I29" s="9" t="n">
        <v>0.75</v>
      </c>
      <c r="J29" s="10" t="n">
        <f aca="false">IF(H29=0,0,(I29-H29)/H29)</f>
        <v>2.75</v>
      </c>
      <c r="K29" s="8" t="s">
        <v>42</v>
      </c>
      <c r="L29" s="7" t="s">
        <v>121</v>
      </c>
    </row>
    <row r="30" customFormat="false" ht="15" hidden="false" customHeight="false" outlineLevel="0" collapsed="false">
      <c r="A30" s="7" t="s">
        <v>131</v>
      </c>
      <c r="B30" s="7" t="s">
        <v>134</v>
      </c>
      <c r="C30" s="7" t="s">
        <v>135</v>
      </c>
      <c r="D30" s="7" t="s">
        <v>136</v>
      </c>
      <c r="E30" s="8" t="s">
        <v>50</v>
      </c>
      <c r="F30" s="8" t="s">
        <v>137</v>
      </c>
      <c r="G30" s="7" t="s">
        <v>41</v>
      </c>
      <c r="H30" s="9" t="n">
        <v>1</v>
      </c>
      <c r="I30" s="9" t="n">
        <v>4</v>
      </c>
      <c r="J30" s="10" t="n">
        <f aca="false">IF(H30=0,0,(I30-H30)/H30)</f>
        <v>3</v>
      </c>
      <c r="K30" s="8" t="s">
        <v>42</v>
      </c>
      <c r="L30" s="7"/>
    </row>
    <row r="31" customFormat="false" ht="15" hidden="false" customHeight="false" outlineLevel="0" collapsed="false">
      <c r="A31" s="7" t="s">
        <v>138</v>
      </c>
      <c r="B31" s="7" t="s">
        <v>139</v>
      </c>
      <c r="C31" s="7" t="s">
        <v>140</v>
      </c>
      <c r="D31" s="7" t="s">
        <v>141</v>
      </c>
      <c r="E31" s="8" t="s">
        <v>50</v>
      </c>
      <c r="F31" s="8" t="s">
        <v>141</v>
      </c>
      <c r="G31" s="7" t="s">
        <v>41</v>
      </c>
      <c r="H31" s="9" t="n">
        <v>8</v>
      </c>
      <c r="I31" s="9" t="n">
        <v>20</v>
      </c>
      <c r="J31" s="10" t="n">
        <f aca="false">IF(H31=0,0,(I31-H31)/H31)</f>
        <v>1.5</v>
      </c>
      <c r="K31" s="8" t="s">
        <v>42</v>
      </c>
      <c r="L31" s="7"/>
    </row>
    <row r="32" customFormat="false" ht="15" hidden="false" customHeight="false" outlineLevel="0" collapsed="false">
      <c r="A32" s="7" t="s">
        <v>138</v>
      </c>
      <c r="B32" s="7" t="s">
        <v>142</v>
      </c>
      <c r="C32" s="7" t="s">
        <v>140</v>
      </c>
      <c r="D32" s="7" t="s">
        <v>143</v>
      </c>
      <c r="E32" s="8" t="s">
        <v>50</v>
      </c>
      <c r="F32" s="8" t="s">
        <v>143</v>
      </c>
      <c r="G32" s="7" t="s">
        <v>41</v>
      </c>
      <c r="H32" s="9" t="n">
        <v>14</v>
      </c>
      <c r="I32" s="9" t="n">
        <v>32</v>
      </c>
      <c r="J32" s="10" t="n">
        <f aca="false">IF(H32=0,0,(I32-H32)/H32)</f>
        <v>1.28571428571429</v>
      </c>
      <c r="K32" s="8" t="s">
        <v>47</v>
      </c>
      <c r="L3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6" t="s">
        <v>144</v>
      </c>
      <c r="B1" s="6" t="s">
        <v>33</v>
      </c>
      <c r="C1" s="6" t="s">
        <v>145</v>
      </c>
      <c r="D1" s="6" t="s">
        <v>34</v>
      </c>
    </row>
    <row r="2" customFormat="false" ht="15" hidden="false" customHeight="false" outlineLevel="0" collapsed="false">
      <c r="A2" s="7" t="s">
        <v>146</v>
      </c>
      <c r="B2" s="7" t="s">
        <v>147</v>
      </c>
      <c r="C2" s="9" t="n">
        <v>75</v>
      </c>
      <c r="D2" s="7" t="s">
        <v>148</v>
      </c>
    </row>
    <row r="3" customFormat="false" ht="15" hidden="false" customHeight="false" outlineLevel="0" collapsed="false">
      <c r="A3" s="7" t="s">
        <v>149</v>
      </c>
      <c r="B3" s="7" t="s">
        <v>150</v>
      </c>
      <c r="C3" s="9" t="n">
        <v>85</v>
      </c>
      <c r="D3" s="7"/>
    </row>
    <row r="4" customFormat="false" ht="15" hidden="false" customHeight="false" outlineLevel="0" collapsed="false">
      <c r="A4" s="7" t="s">
        <v>151</v>
      </c>
      <c r="B4" s="7" t="s">
        <v>150</v>
      </c>
      <c r="C4" s="9" t="n">
        <v>110</v>
      </c>
      <c r="D4" s="7" t="s">
        <v>152</v>
      </c>
    </row>
    <row r="5" customFormat="false" ht="15" hidden="false" customHeight="false" outlineLevel="0" collapsed="false">
      <c r="A5" s="7" t="s">
        <v>153</v>
      </c>
      <c r="B5" s="7" t="s">
        <v>154</v>
      </c>
      <c r="C5" s="9" t="n">
        <v>3</v>
      </c>
      <c r="D5" s="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12" min="12" style="0" width="30"/>
  </cols>
  <sheetData>
    <row r="1" customFormat="false" ht="26.85" hidden="false" customHeight="false" outlineLevel="0" collapsed="false">
      <c r="A1" s="6" t="s">
        <v>156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34</v>
      </c>
    </row>
    <row r="2" customFormat="false" ht="23.85" hidden="false" customHeight="false" outlineLevel="0" collapsed="false">
      <c r="A2" s="11" t="s">
        <v>162</v>
      </c>
      <c r="B2" s="11" t="s">
        <v>163</v>
      </c>
      <c r="C2" s="11" t="s">
        <v>164</v>
      </c>
      <c r="D2" s="11" t="s">
        <v>165</v>
      </c>
      <c r="E2" s="11" t="s">
        <v>166</v>
      </c>
      <c r="F2" s="11" t="s">
        <v>167</v>
      </c>
      <c r="G2" s="11" t="s">
        <v>168</v>
      </c>
    </row>
    <row r="3" customFormat="false" ht="15" hidden="false" customHeight="false" outlineLevel="0" collapsed="false">
      <c r="A3" s="11" t="s">
        <v>169</v>
      </c>
      <c r="B3" s="11" t="s">
        <v>170</v>
      </c>
      <c r="C3" s="11" t="s">
        <v>171</v>
      </c>
      <c r="D3" s="11" t="s">
        <v>165</v>
      </c>
      <c r="E3" s="11" t="s">
        <v>166</v>
      </c>
      <c r="F3" s="11" t="s">
        <v>167</v>
      </c>
      <c r="G3" s="11"/>
    </row>
    <row r="4" customFormat="false" ht="15" hidden="false" customHeight="false" outlineLevel="0" collapsed="false">
      <c r="A4" s="11" t="s">
        <v>172</v>
      </c>
      <c r="B4" s="11" t="s">
        <v>173</v>
      </c>
      <c r="C4" s="11" t="s">
        <v>174</v>
      </c>
      <c r="D4" s="11" t="s">
        <v>165</v>
      </c>
      <c r="E4" s="11" t="s">
        <v>175</v>
      </c>
      <c r="F4" s="11" t="s">
        <v>176</v>
      </c>
      <c r="G4" s="11" t="s">
        <v>177</v>
      </c>
    </row>
    <row r="5" customFormat="false" ht="15" hidden="false" customHeight="false" outlineLevel="0" collapsed="false">
      <c r="A5" s="11" t="s">
        <v>178</v>
      </c>
      <c r="B5" s="11" t="s">
        <v>179</v>
      </c>
      <c r="C5" s="11" t="s">
        <v>180</v>
      </c>
      <c r="D5" s="11" t="s">
        <v>165</v>
      </c>
      <c r="E5" s="11" t="s">
        <v>175</v>
      </c>
      <c r="F5" s="11" t="s">
        <v>176</v>
      </c>
      <c r="G5" s="11" t="s">
        <v>181</v>
      </c>
    </row>
    <row r="6" customFormat="false" ht="15" hidden="false" customHeight="false" outlineLevel="0" collapsed="false">
      <c r="A6" s="11" t="s">
        <v>182</v>
      </c>
      <c r="B6" s="11" t="s">
        <v>183</v>
      </c>
      <c r="C6" s="11" t="s">
        <v>180</v>
      </c>
      <c r="D6" s="11" t="s">
        <v>165</v>
      </c>
      <c r="E6" s="11" t="s">
        <v>175</v>
      </c>
      <c r="F6" s="11" t="s">
        <v>176</v>
      </c>
      <c r="G6" s="11" t="s">
        <v>181</v>
      </c>
    </row>
    <row r="7" customFormat="false" ht="15" hidden="false" customHeight="false" outlineLevel="0" collapsed="false">
      <c r="A7" s="11" t="s">
        <v>184</v>
      </c>
      <c r="B7" s="11" t="s">
        <v>185</v>
      </c>
      <c r="C7" s="11" t="s">
        <v>129</v>
      </c>
      <c r="D7" s="11" t="s">
        <v>165</v>
      </c>
      <c r="E7" s="11" t="s">
        <v>175</v>
      </c>
      <c r="F7" s="11" t="s">
        <v>167</v>
      </c>
      <c r="G7" s="11"/>
    </row>
    <row r="8" customFormat="false" ht="15" hidden="false" customHeight="false" outlineLevel="0" collapsed="false">
      <c r="A8" s="11" t="s">
        <v>186</v>
      </c>
      <c r="B8" s="11" t="s">
        <v>187</v>
      </c>
      <c r="C8" s="11" t="s">
        <v>180</v>
      </c>
      <c r="D8" s="11" t="s">
        <v>165</v>
      </c>
      <c r="E8" s="11" t="s">
        <v>175</v>
      </c>
      <c r="F8" s="11" t="s">
        <v>176</v>
      </c>
      <c r="G8" s="11" t="s">
        <v>181</v>
      </c>
    </row>
    <row r="9" customFormat="false" ht="15" hidden="false" customHeight="false" outlineLevel="0" collapsed="false">
      <c r="A9" s="11" t="s">
        <v>188</v>
      </c>
      <c r="B9" s="11" t="s">
        <v>189</v>
      </c>
      <c r="C9" s="11" t="s">
        <v>190</v>
      </c>
      <c r="D9" s="11" t="s">
        <v>191</v>
      </c>
      <c r="E9" s="11" t="s">
        <v>175</v>
      </c>
      <c r="F9" s="11" t="s">
        <v>167</v>
      </c>
      <c r="G9" s="11" t="s">
        <v>192</v>
      </c>
    </row>
    <row r="10" customFormat="false" ht="15" hidden="false" customHeight="false" outlineLevel="0" collapsed="false">
      <c r="A10" s="11" t="s">
        <v>193</v>
      </c>
      <c r="B10" s="11" t="s">
        <v>194</v>
      </c>
      <c r="C10" s="11" t="s">
        <v>195</v>
      </c>
      <c r="D10" s="11" t="s">
        <v>165</v>
      </c>
      <c r="E10" s="11" t="s">
        <v>175</v>
      </c>
      <c r="F10" s="11" t="s">
        <v>176</v>
      </c>
      <c r="G10" s="11"/>
    </row>
    <row r="11" customFormat="false" ht="15" hidden="false" customHeight="false" outlineLevel="0" collapsed="false">
      <c r="A11" s="11" t="s">
        <v>196</v>
      </c>
      <c r="B11" s="11" t="s">
        <v>197</v>
      </c>
      <c r="C11" s="11" t="s">
        <v>180</v>
      </c>
      <c r="D11" s="11" t="s">
        <v>165</v>
      </c>
      <c r="E11" s="11" t="s">
        <v>175</v>
      </c>
      <c r="F11" s="11" t="s">
        <v>176</v>
      </c>
      <c r="G11" s="11" t="s">
        <v>181</v>
      </c>
    </row>
    <row r="12" customFormat="false" ht="15" hidden="false" customHeight="false" outlineLevel="0" collapsed="false">
      <c r="A12" s="11" t="s">
        <v>198</v>
      </c>
      <c r="B12" s="11" t="s">
        <v>199</v>
      </c>
      <c r="C12" s="11" t="s">
        <v>200</v>
      </c>
      <c r="D12" s="11" t="s">
        <v>165</v>
      </c>
      <c r="E12" s="11" t="s">
        <v>175</v>
      </c>
      <c r="F12" s="11" t="s">
        <v>176</v>
      </c>
      <c r="G12" s="11"/>
    </row>
    <row r="13" customFormat="false" ht="15" hidden="false" customHeight="false" outlineLevel="0" collapsed="false">
      <c r="A13" s="11" t="s">
        <v>201</v>
      </c>
      <c r="B13" s="11" t="s">
        <v>202</v>
      </c>
      <c r="C13" s="11" t="s">
        <v>203</v>
      </c>
      <c r="D13" s="11" t="s">
        <v>191</v>
      </c>
      <c r="E13" s="11" t="s">
        <v>166</v>
      </c>
      <c r="F13" s="11" t="s">
        <v>176</v>
      </c>
      <c r="G13" s="11" t="s">
        <v>204</v>
      </c>
    </row>
    <row r="14" customFormat="false" ht="15" hidden="false" customHeight="false" outlineLevel="0" collapsed="false">
      <c r="A14" s="11" t="s">
        <v>205</v>
      </c>
      <c r="B14" s="11" t="s">
        <v>206</v>
      </c>
      <c r="C14" s="11" t="s">
        <v>207</v>
      </c>
      <c r="D14" s="11" t="s">
        <v>165</v>
      </c>
      <c r="E14" s="11" t="s">
        <v>175</v>
      </c>
      <c r="F14" s="11" t="s">
        <v>167</v>
      </c>
      <c r="G14" s="11"/>
    </row>
    <row r="15" customFormat="false" ht="15" hidden="false" customHeight="false" outlineLevel="0" collapsed="false">
      <c r="A15" s="11" t="s">
        <v>208</v>
      </c>
      <c r="B15" s="11" t="s">
        <v>209</v>
      </c>
      <c r="C15" s="11" t="s">
        <v>207</v>
      </c>
      <c r="D15" s="11" t="s">
        <v>191</v>
      </c>
      <c r="E15" s="11" t="s">
        <v>175</v>
      </c>
      <c r="F15" s="11" t="s">
        <v>210</v>
      </c>
      <c r="G15" s="11" t="s">
        <v>211</v>
      </c>
    </row>
    <row r="16" customFormat="false" ht="15" hidden="false" customHeight="false" outlineLevel="0" collapsed="false">
      <c r="A16" s="11" t="s">
        <v>212</v>
      </c>
      <c r="B16" s="11" t="s">
        <v>213</v>
      </c>
      <c r="C16" s="11" t="s">
        <v>214</v>
      </c>
      <c r="D16" s="11" t="s">
        <v>165</v>
      </c>
      <c r="E16" s="11" t="s">
        <v>175</v>
      </c>
      <c r="F16" s="11" t="s">
        <v>210</v>
      </c>
      <c r="G16" s="11"/>
    </row>
    <row r="17" customFormat="false" ht="15" hidden="false" customHeight="false" outlineLevel="0" collapsed="false">
      <c r="A17" s="11" t="s">
        <v>215</v>
      </c>
      <c r="B17" s="11" t="s">
        <v>216</v>
      </c>
      <c r="C17" s="11" t="s">
        <v>217</v>
      </c>
      <c r="D17" s="11" t="s">
        <v>165</v>
      </c>
      <c r="E17" s="11" t="s">
        <v>175</v>
      </c>
      <c r="F17" s="11" t="s">
        <v>210</v>
      </c>
      <c r="G17" s="11"/>
    </row>
    <row r="18" customFormat="false" ht="15" hidden="false" customHeight="false" outlineLevel="0" collapsed="false">
      <c r="A18" s="11" t="s">
        <v>218</v>
      </c>
      <c r="B18" s="11" t="s">
        <v>219</v>
      </c>
      <c r="C18" s="11" t="s">
        <v>220</v>
      </c>
      <c r="D18" s="11" t="s">
        <v>165</v>
      </c>
      <c r="E18" s="11" t="s">
        <v>166</v>
      </c>
      <c r="F18" s="11" t="s">
        <v>176</v>
      </c>
      <c r="G18" s="1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2026-07-11T01:17:22Z</dcterms:created>
  <dc:creator>openpyxl</dc:creator>
  <dc:description/>
  <dc:language>en-US</dc:language>
  <cp:lastModifiedBy/>
  <dcterms:modified xsi:type="dcterms:W3CDTF">2026-07-11T01:17:22Z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